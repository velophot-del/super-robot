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custom-properties" Target="docProps/custom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专业方向目录" sheetId="1" r:id="rId3"/>
    <sheet name="专业汇总" sheetId="2" r:id="rId4"/>
  </sheets>
  <definedNames>
    <definedName name="_xlnm._FilterDatabase">专业方向目录!$A$2:$I$10</definedName>
  </definedNames>
  <calcPr calcId="124519" fullCalcOnLoad="1"/>
</workbook>
</file>

<file path=xl/sharedStrings.xml><?xml version="1.0" encoding="utf-8"?>
<sst xmlns="http://schemas.openxmlformats.org/spreadsheetml/2006/main" count="77" uniqueCount="77">
  <si>
    <t/>
  </si>
  <si>
    <t>6个专业</t>
  </si>
  <si>
    <t>数字媒体艺术</t>
  </si>
  <si>
    <t>时尚传播</t>
  </si>
  <si>
    <t>视觉策略</t>
  </si>
  <si>
    <t>叙事设计</t>
  </si>
  <si>
    <t>插画与叙事设计</t>
  </si>
  <si>
    <t>视觉策略与品牌</t>
  </si>
  <si>
    <t>品牌与视觉策略</t>
  </si>
  <si>
    <t>视觉策略与叙事设计教研室</t>
  </si>
  <si>
    <t>包装系统与可持续设计教研室</t>
  </si>
  <si>
    <t>视觉系统与时尚传播教研室</t>
  </si>
  <si>
    <t>数字艺术与媒介创新教研室</t>
  </si>
  <si>
    <t>智能教育与体验设计教研室</t>
  </si>
  <si>
    <t>智能交互与体验设计教研室</t>
  </si>
  <si>
    <r>
      <t>山东工艺美术学院视觉传达设计学院专业方向与专业代码目录</t>
    </r>
  </si>
  <si>
    <r>
      <t>序号</t>
    </r>
  </si>
  <si>
    <r>
      <t>专业名称</t>
    </r>
  </si>
  <si>
    <r>
      <t>专业代码</t>
    </r>
  </si>
  <si>
    <r>
      <t>授予学位</t>
    </r>
  </si>
  <si>
    <r>
      <t>学制</t>
    </r>
  </si>
  <si>
    <r>
      <t>专业方向</t>
    </r>
  </si>
  <si>
    <r>
      <t>对应教研室</t>
    </r>
  </si>
  <si>
    <r>
      <t>专业建设级别</t>
    </r>
  </si>
  <si>
    <r>
      <t>备注</t>
    </r>
  </si>
  <si>
    <r>
      <t>视觉传达设计</t>
    </r>
  </si>
  <si>
    <r>
      <t>130502</t>
    </r>
  </si>
  <si>
    <r>
      <t>艺术学</t>
    </r>
  </si>
  <si>
    <r>
      <t>四年</t>
    </r>
  </si>
  <si>
    <r>
      <t>媒介设计与传播</t>
    </r>
  </si>
  <si>
    <r>
      <t>媒介设计与传播教研室</t>
    </r>
  </si>
  <si>
    <r>
      <t>国家级一流本科专业建设点（首批）</t>
    </r>
  </si>
  <si>
    <r>
      <t>学院主干专业；专业前身为1983年装潢专业，2014年更名为视觉传达设计</t>
    </r>
  </si>
  <si>
    <r>
      <t>品牌设计与传播</t>
    </r>
  </si>
  <si>
    <r>
      <t>品牌设计与传播教研室</t>
    </r>
  </si>
  <si>
    <r>
      <t>方向侧重品牌策略、视觉识别与整合传播</t>
    </r>
  </si>
  <si>
    <r>
      <t>书籍与插画设计</t>
    </r>
  </si>
  <si>
    <r>
      <t>书籍与插画教研室</t>
    </r>
  </si>
  <si>
    <r>
      <t>对应核心课程：出版物设计、插画与绘本设计</t>
    </r>
  </si>
  <si>
    <r>
      <t>包装设计</t>
    </r>
  </si>
  <si>
    <r>
      <t>包装设计与工程教研室</t>
    </r>
  </si>
  <si>
    <r>
      <t>易混淆点：此处为130502下设方向，与独立专业“包装设计（130512T）”名称相同、代码不同</t>
    </r>
  </si>
  <si>
    <r>
      <t>数字媒体艺术（交互设计）</t>
    </r>
  </si>
  <si>
    <r>
      <t>130508</t>
    </r>
  </si>
  <si>
    <r>
      <t>整专业招生（交互设计口径）</t>
    </r>
  </si>
  <si>
    <r>
      <t>智能交互教研室</t>
    </r>
  </si>
  <si>
    <r>
      <t>山东省一流本科专业建设点</t>
    </r>
  </si>
  <si>
    <r>
      <t>招生口径标注为“数字媒体艺术（交互设计）”；学院另有“2021年获批国家级一流本科专业建设点”的表述，层级口径待以校发文为准</t>
    </r>
  </si>
  <si>
    <r>
      <t>包装工程</t>
    </r>
  </si>
  <si>
    <r>
      <t>081702</t>
    </r>
  </si>
  <si>
    <r>
      <t>工学</t>
    </r>
  </si>
  <si>
    <r>
      <t>整专业招生（未细分方向）</t>
    </r>
  </si>
  <si>
    <r>
      <t>理工类招生，授工学学位；核心课程含包装材料学、包装结构设计、运输包装等</t>
    </r>
  </si>
  <si>
    <r>
      <t>130512T</t>
    </r>
  </si>
  <si>
    <r>
      <t>2024年起招生（2025软科专业排名第2）</t>
    </r>
  </si>
  <si>
    <r>
      <t>“T”为特设专业；2016年新增，我院2024年起招生，2025年软科中国大学专业排名第2</t>
    </r>
  </si>
  <si>
    <r>
      <t>智能交互设计</t>
    </r>
  </si>
  <si>
    <r>
      <t>080218T</t>
    </r>
  </si>
  <si>
    <r>
      <t>2022年增设（特设专业）</t>
    </r>
  </si>
  <si>
    <r>
      <t>“T”为特设专业；由数字媒体艺术（交互设计）延续发展而来，授工学学位</t>
    </r>
  </si>
  <si>
    <r>
      <t>智能工程与创意设计</t>
    </r>
  </si>
  <si>
    <r>
      <t>080808T</t>
    </r>
  </si>
  <si>
    <r>
      <t>智能交互教研室（拟）</t>
    </r>
  </si>
  <si>
    <r>
      <t>新设专业（已获教育部批复）</t>
    </r>
  </si>
  <si>
    <r>
      <t>“T”为特设专业；学院简介作“2025年获教育部批复”，官微作“2024年度获批复”，建议以批文为准；教研室归属待学院确认</t>
    </r>
  </si>
  <si>
    <r>
      <t>视觉传达设计学院 专业一览</t>
    </r>
  </si>
  <si>
    <r>
      <t>方向数</t>
    </r>
  </si>
  <si>
    <r>
      <t>2024年起招生（软科专业排名第2）</t>
    </r>
  </si>
  <si>
    <r>
      <t>合计</t>
    </r>
  </si>
  <si>
    <r>
      <t>艺术学3个、工学3个；国家级一流专业1个、省级一流专业2个</t>
    </r>
  </si>
  <si>
    <r>
      <t>说明：</t>
    </r>
  </si>
  <si>
    <r>
      <t>1. 方向数按「专业方向目录」明细行数统计（COUNTIF），未细分方向的专业计 1，即整专业口径。</t>
    </r>
  </si>
  <si>
    <r>
      <t>2. 专业代码后带“T”者为特设专业：包装设计130512T、智能交互设计080218T、智能工程与创意设计080808T。</t>
    </r>
  </si>
  <si>
    <r>
      <t>3. 学历层次均为本科、学制四年；授予艺术学学位3个专业（视觉传达设计、数字媒体艺术、包装设计），授予工学学位3个专业（包装工程、智能交互设计、智能工程与创意设计）。</t>
    </r>
  </si>
  <si>
    <r>
      <t>4. 数据来源：山东工艺美术学院本科招生网「视觉传达设计学院」专业介绍页、视觉传达设计学院官网「学院简介」、</t>
    </r>
  </si>
  <si>
    <r>
      <t xml:space="preserve">   《2024—2025学年本科教学质量报告相关数据》（信息公开网），截至2026年10月。</t>
    </r>
  </si>
  <si>
    <r>
      <t>5. 口径分歧已在备注列标注，涉及数字媒体艺术一流专业层级、智能工程与创意设计批复年度，建议以学校正式发文为准。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</si>
</sst>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2F5597"/>
      <sz val="15"/>
    </font>
    <font>
      <name val="宋体"/>
      <b val="1"/>
      <color rgb="FFFFFFFF"/>
      <sz val="10"/>
    </font>
    <font>
      <name val="宋体"/>
      <sz val="10"/>
    </font>
    <font>
      <name val="宋体"/>
      <b val="1"/>
      <color rgb="FF595959"/>
      <sz val="9"/>
    </font>
    <font>
      <name val="宋体"/>
      <color rgb="FF595959"/>
      <sz val="9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2F5597"/>
      </patternFill>
    </fill>
    <fill>
      <patternFill/>
    </fill>
    <fill/>
    <fill>
      <patternFill patternType="solid">
        <fgColor rgb="FFF2F6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8" fillId="5" borderId="2" xfId="0"/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5" borderId="2" xfId="0" applyFont="1" applyAlignment="1">
      <alignment horizontal="center" vertical="center"/>
    </xf>
    <xf numFmtId="300" fontId="4" fillId="2" borderId="1" xfId="0" applyFont="1" applyFill="1" applyBorder="1" applyAlignment="1">
      <alignment horizontal="center" vertical="center" wrapText="1"/>
    </xf>
    <xf numFmtId="300" fontId="5" fillId="5" borderId="1" xfId="0" applyFont="1" applyBorder="1" applyAlignment="1">
      <alignment horizontal="center" vertical="center" wrapText="1"/>
    </xf>
    <xf numFmtId="300" fontId="5" fillId="5" borderId="1" xfId="0" applyFont="1" applyBorder="1" applyAlignment="1">
      <alignment horizontal="left" vertical="center" wrapText="1"/>
    </xf>
    <xf numFmtId="300" fontId="5" fillId="3" borderId="1" xfId="0" applyFont="1" applyFill="1" applyBorder="1" applyAlignment="1">
      <alignment horizontal="center" vertical="center" wrapText="1"/>
    </xf>
    <xf numFmtId="300" fontId="5" fillId="3" borderId="1" xfId="0" applyFont="1" applyFill="1" applyBorder="1" applyAlignment="1">
      <alignment horizontal="left" vertical="center" wrapText="1"/>
    </xf>
    <xf numFmtId="1" fontId="5" fillId="5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6" fillId="5" borderId="2" xfId="0" applyFont="1" applyAlignment="1">
      <alignment horizontal="left" vertical="center" wrapText="1"/>
    </xf>
    <xf numFmtId="300" fontId="7" fillId="5" borderId="2" xfId="0" applyFont="1" applyAlignment="1">
      <alignment horizontal="left" vertical="center" wrapText="1"/>
    </xf>
    <xf numFmtId="0" fontId="5" fillId="5" borderId="1" xfId="0" applyNumberFormat="1" applyFont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5" fillId="6" borderId="1" xfId="0">
      <alignment horizontal="left" vertical="center" wrapText="1"/>
    </xf>
    <xf numFmtId="0" fontId="5" fillId="0" borderId="1" xfId="0">
      <alignment horizontal="left" vertical="center" wrapText="1"/>
    </xf>
    <xf numFmtId="0" fontId="5" fillId="7" borderId="1" xfId="0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10"/>
  <sheetViews>
    <sheetView showGridLines="1" zoomScale="100" workbookViewId="0">
      <pane xSplit="2" ySplit="2" topLeftCell="C3" activePane="bottomRight" state="frozen"/>
    </sheetView>
  </sheetViews>
  <sheetFormatPr baseColWidth="8" defaultRowHeight="15"/>
  <cols>
    <col min="1" max="1" width="6" customWidth="1"/>
    <col min="2" max="2" width="20" customWidth="1"/>
    <col min="3" max="3" width="12" customWidth="1"/>
    <col min="4" max="4" width="11" customWidth="1"/>
    <col min="5" max="5" width="8" customWidth="1"/>
    <col min="6" max="6" width="24" customWidth="1"/>
    <col min="7" max="7" width="24" customWidth="1"/>
    <col min="8" max="8" width="28" customWidth="1"/>
    <col min="9" max="9" width="46" customWidth="1"/>
  </cols>
  <sheetData>
    <row r="1" spans="1:1" ht="34" customHeight="1">
      <c r="A1" s="4" t="s">
        <v>15</v>
      </c>
    </row>
    <row r="2" spans="1:9" ht="30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</row>
    <row r="3" spans="1:9">
      <c r="A3" s="8">
        <v>2</v>
      </c>
      <c r="B3" s="9" t="s">
        <v>25</v>
      </c>
      <c r="C3" s="8" t="s">
        <v>26</v>
      </c>
      <c r="D3" s="8" t="s">
        <v>27</v>
      </c>
      <c r="E3" s="8" t="s">
        <v>28</v>
      </c>
      <c r="F3" s="18" t="s">
        <v>8</v>
      </c>
      <c r="G3" s="19" t="s">
        <v>9</v>
      </c>
      <c r="H3" s="9" t="s">
        <v>31</v>
      </c>
      <c r="I3" s="9" t="s">
        <v>35</v>
      </c>
    </row>
    <row r="4" spans="1:9">
      <c r="A4" s="6">
        <v>3</v>
      </c>
      <c r="B4" s="7" t="s">
        <v>25</v>
      </c>
      <c r="C4" s="6" t="s">
        <v>26</v>
      </c>
      <c r="D4" s="6" t="s">
        <v>27</v>
      </c>
      <c r="E4" s="6" t="s">
        <v>28</v>
      </c>
      <c r="F4" s="17" t="s">
        <v>6</v>
      </c>
      <c r="G4" s="20" t="s">
        <v>9</v>
      </c>
      <c r="H4" s="7" t="s">
        <v>31</v>
      </c>
      <c r="I4" s="7" t="s">
        <v>38</v>
      </c>
    </row>
    <row r="5" spans="1:9">
      <c r="A5" s="8">
        <v>4</v>
      </c>
      <c r="B5" s="9" t="s">
        <v>25</v>
      </c>
      <c r="C5" s="8" t="s">
        <v>26</v>
      </c>
      <c r="D5" s="8" t="s">
        <v>27</v>
      </c>
      <c r="E5" s="8" t="s">
        <v>28</v>
      </c>
      <c r="F5" s="18" t="s">
        <v>3</v>
      </c>
      <c r="G5" s="18" t="s">
        <v>11</v>
      </c>
      <c r="H5" s="9" t="s">
        <v>31</v>
      </c>
      <c r="I5" s="9" t="s"/>
    </row>
    <row r="6" spans="1:9">
      <c r="A6" s="6">
        <v>5</v>
      </c>
      <c r="B6" s="17" t="s">
        <v>2</v>
      </c>
      <c r="C6" s="6" t="s">
        <v>43</v>
      </c>
      <c r="D6" s="6" t="s">
        <v>27</v>
      </c>
      <c r="E6" s="6" t="s">
        <v>28</v>
      </c>
      <c r="F6" s="7" t="s">
        <v>44</v>
      </c>
      <c r="G6" s="17" t="s">
        <v>12</v>
      </c>
      <c r="H6" s="7" t="s">
        <v>46</v>
      </c>
      <c r="I6" s="7" t="s">
        <v>47</v>
      </c>
    </row>
    <row r="7" spans="1:9">
      <c r="A7" s="8">
        <v>6</v>
      </c>
      <c r="B7" s="9" t="s">
        <v>48</v>
      </c>
      <c r="C7" s="8" t="s">
        <v>49</v>
      </c>
      <c r="D7" s="8" t="s">
        <v>50</v>
      </c>
      <c r="E7" s="8" t="s">
        <v>28</v>
      </c>
      <c r="F7" s="9" t="s">
        <v>51</v>
      </c>
      <c r="G7" s="18" t="s">
        <v>10</v>
      </c>
      <c r="H7" s="9" t="s">
        <v>46</v>
      </c>
      <c r="I7" s="9" t="s">
        <v>52</v>
      </c>
    </row>
    <row r="8" spans="1:9">
      <c r="A8" s="6">
        <v>7</v>
      </c>
      <c r="B8" s="7" t="s">
        <v>39</v>
      </c>
      <c r="C8" s="6" t="s">
        <v>53</v>
      </c>
      <c r="D8" s="6" t="s">
        <v>27</v>
      </c>
      <c r="E8" s="6" t="s">
        <v>28</v>
      </c>
      <c r="F8" s="7" t="s">
        <v>51</v>
      </c>
      <c r="G8" s="21" t="s">
        <v>10</v>
      </c>
      <c r="H8" s="7" t="s">
        <v>54</v>
      </c>
      <c r="I8" s="7" t="s">
        <v>55</v>
      </c>
    </row>
    <row r="9" spans="1:9">
      <c r="A9" s="8">
        <v>8</v>
      </c>
      <c r="B9" s="9" t="s">
        <v>56</v>
      </c>
      <c r="C9" s="8" t="s">
        <v>57</v>
      </c>
      <c r="D9" s="8" t="s">
        <v>50</v>
      </c>
      <c r="E9" s="8" t="s">
        <v>28</v>
      </c>
      <c r="F9" s="9" t="s">
        <v>51</v>
      </c>
      <c r="G9" s="18" t="s">
        <v>14</v>
      </c>
      <c r="H9" s="9" t="s">
        <v>58</v>
      </c>
      <c r="I9" s="9" t="s">
        <v>59</v>
      </c>
    </row>
    <row r="10" spans="1:9">
      <c r="A10" s="6">
        <v>9</v>
      </c>
      <c r="B10" s="7" t="s">
        <v>60</v>
      </c>
      <c r="C10" s="6" t="s">
        <v>61</v>
      </c>
      <c r="D10" s="6" t="s">
        <v>50</v>
      </c>
      <c r="E10" s="6" t="s">
        <v>28</v>
      </c>
      <c r="F10" s="7" t="s">
        <v>51</v>
      </c>
      <c r="G10" s="21" t="s">
        <v>14</v>
      </c>
      <c r="H10" s="7" t="s">
        <v>63</v>
      </c>
      <c r="I10" s="7" t="s">
        <v>64</v>
      </c>
    </row>
  </sheetData>
  <autoFilter ref="A2:I10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17"/>
  <sheetViews>
    <sheetView showGridLines="1" workbookViewId="0"/>
  </sheetViews>
  <sheetFormatPr baseColWidth="8" defaultRowHeight="15"/>
  <cols>
    <col min="1" max="1" width="6" customWidth="1"/>
    <col min="2" max="2" width="24" customWidth="1"/>
    <col min="3" max="3" width="12" customWidth="1"/>
    <col min="4" max="4" width="11" customWidth="1"/>
    <col min="5" max="5" width="8" customWidth="1"/>
    <col min="6" max="6" width="9" customWidth="1"/>
    <col min="7" max="7" width="32" customWidth="1"/>
  </cols>
  <sheetData>
    <row r="1" spans="1:1" ht="34" customHeight="1">
      <c r="A1" s="4" t="s">
        <v>65</v>
      </c>
    </row>
    <row r="2" spans="1:7" ht="30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66</v>
      </c>
      <c r="G2" s="5" t="s">
        <v>23</v>
      </c>
    </row>
    <row r="3" spans="1:7">
      <c r="A3" s="6">
        <v>1</v>
      </c>
      <c r="B3" s="7" t="s">
        <v>25</v>
      </c>
      <c r="C3" s="6" t="s">
        <v>26</v>
      </c>
      <c r="D3" s="6" t="s">
        <v>27</v>
      </c>
      <c r="E3" s="6" t="s">
        <v>28</v>
      </c>
      <c r="F3" s="10">
        <f>=COUNTIF(专业方向目录!$B$3:$B$10,$B3)</f>
        <v>3</v>
      </c>
      <c r="G3" s="7" t="s">
        <v>31</v>
      </c>
    </row>
    <row r="4" spans="1:7">
      <c r="A4" s="8">
        <v>2</v>
      </c>
      <c r="B4" s="9" t="s">
        <v>42</v>
      </c>
      <c r="C4" s="8" t="s">
        <v>43</v>
      </c>
      <c r="D4" s="8" t="s">
        <v>27</v>
      </c>
      <c r="E4" s="8" t="s">
        <v>28</v>
      </c>
      <c r="F4" s="11">
        <f>=COUNTIF(专业方向目录!$B$3:$B$10,$B4)</f>
        <v>0</v>
      </c>
      <c r="G4" s="9" t="s">
        <v>46</v>
      </c>
    </row>
    <row r="5" spans="1:7">
      <c r="A5" s="6">
        <v>3</v>
      </c>
      <c r="B5" s="7" t="s">
        <v>39</v>
      </c>
      <c r="C5" s="6" t="s">
        <v>53</v>
      </c>
      <c r="D5" s="6" t="s">
        <v>27</v>
      </c>
      <c r="E5" s="6" t="s">
        <v>28</v>
      </c>
      <c r="F5" s="10">
        <f>=COUNTIF(专业方向目录!$B$3:$B$10,$B5)</f>
        <v>1</v>
      </c>
      <c r="G5" s="7" t="s">
        <v>67</v>
      </c>
    </row>
    <row r="6" spans="1:7">
      <c r="A6" s="8">
        <v>4</v>
      </c>
      <c r="B6" s="9" t="s">
        <v>48</v>
      </c>
      <c r="C6" s="8" t="s">
        <v>49</v>
      </c>
      <c r="D6" s="8" t="s">
        <v>50</v>
      </c>
      <c r="E6" s="8" t="s">
        <v>28</v>
      </c>
      <c r="F6" s="11">
        <f>=COUNTIF(专业方向目录!$B$3:$B$10,$B6)</f>
        <v>1</v>
      </c>
      <c r="G6" s="9" t="s">
        <v>46</v>
      </c>
    </row>
    <row r="7" spans="1:7">
      <c r="A7" s="6">
        <v>5</v>
      </c>
      <c r="B7" s="7" t="s">
        <v>56</v>
      </c>
      <c r="C7" s="6" t="s">
        <v>57</v>
      </c>
      <c r="D7" s="6" t="s">
        <v>50</v>
      </c>
      <c r="E7" s="6" t="s">
        <v>28</v>
      </c>
      <c r="F7" s="10">
        <f>=COUNTIF(专业方向目录!$B$3:$B$10,$B7)</f>
        <v>1</v>
      </c>
      <c r="G7" s="7" t="s">
        <v>58</v>
      </c>
    </row>
    <row r="8" spans="1:7">
      <c r="A8" s="8">
        <v>6</v>
      </c>
      <c r="B8" s="9" t="s">
        <v>60</v>
      </c>
      <c r="C8" s="8" t="s">
        <v>61</v>
      </c>
      <c r="D8" s="8" t="s">
        <v>50</v>
      </c>
      <c r="E8" s="8" t="s">
        <v>28</v>
      </c>
      <c r="F8" s="11">
        <f>=COUNTIF(专业方向目录!$B$3:$B$10,$B8)</f>
        <v>1</v>
      </c>
      <c r="G8" s="9" t="s">
        <v>63</v>
      </c>
    </row>
    <row r="9" spans="1:7" ht="26" customHeight="1">
      <c r="A9" s="12" t="s">
        <v>68</v>
      </c>
      <c r="B9" s="12" t="str">
        <f>=COUNTA($B$3:$B$8)&amp;"个专业"</f>
        <v>6个专业</v>
      </c>
      <c r="C9" s="12" t="s"/>
      <c r="D9" s="12" t="s"/>
      <c r="E9" s="12" t="s"/>
      <c r="F9" s="13">
        <f>=SUM($F$3:$F$8)</f>
        <v>7</v>
      </c>
      <c r="G9" s="14" t="s">
        <v>69</v>
      </c>
    </row>
    <row r="11" spans="1:1">
      <c r="A11" s="15" t="s">
        <v>70</v>
      </c>
    </row>
    <row r="12" spans="1:1">
      <c r="A12" s="16" t="s">
        <v>71</v>
      </c>
    </row>
    <row r="13" spans="1:1">
      <c r="A13" s="16" t="s">
        <v>72</v>
      </c>
    </row>
    <row r="14" spans="1:1">
      <c r="A14" s="16" t="s">
        <v>73</v>
      </c>
    </row>
    <row r="15" spans="1:1">
      <c r="A15" s="16" t="s">
        <v>74</v>
      </c>
    </row>
    <row r="16" spans="1:1">
      <c r="A16" s="16" t="s">
        <v>75</v>
      </c>
    </row>
    <row r="17" spans="1:1">
      <c r="A17" s="16" t="s">
        <v>76</v>
      </c>
    </row>
  </sheetData>
  <mergeCells count="8">
    <mergeCell ref="A13:G13"/>
    <mergeCell ref="A14:G14"/>
    <mergeCell ref="A1:G1"/>
    <mergeCell ref="A17:G17"/>
    <mergeCell ref="A12:G12"/>
    <mergeCell ref="A16:G16"/>
    <mergeCell ref="A15:G1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2026-10-24T12:42:38Z</dcterms:created>
  <dcterms:modified xsi:type="dcterms:W3CDTF">2026-10-24T12:42:38Z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{"Label":"1","ContentProducer":"00119111010856365494821B355","ProduceID":"280d5790b9d448bab8a2c3aa5dd5bd11","ContentPropagator":"00119111010856365494821B355","PropagateID":"280d5790b9d448bab8a2c3aa5dd5bd11"}</vt:lpwstr>
  </property>
</Properties>
</file>